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5"/>
    <sheet state="visible" name="Team Assignment" sheetId="2" r:id="rId6"/>
    <sheet state="visible" name="30-Day Schedule" sheetId="3" r:id="rId7"/>
    <sheet state="visible" name="Module Task Breakdown" sheetId="4" r:id="rId8"/>
    <sheet state="visible" name="Milestone Tracker" sheetId="5" r:id="rId9"/>
  </sheets>
  <definedNames/>
  <calcPr/>
</workbook>
</file>

<file path=xl/sharedStrings.xml><?xml version="1.0" encoding="utf-8"?>
<sst xmlns="http://schemas.openxmlformats.org/spreadsheetml/2006/main" count="427" uniqueCount="232">
  <si>
    <t>Module-wise Task Breakdown with Start/End Day &amp; Owner</t>
  </si>
  <si>
    <t>Team Roles &amp; Responsibilities</t>
  </si>
  <si>
    <t>SalesGenie AI – Day Team Project Schedule</t>
  </si>
  <si>
    <t>30-Day Day-wise SDLC Execution Schedule</t>
  </si>
  <si>
    <t>Dates auto-calculate from Overview!C5 (Project Start Date)</t>
  </si>
  <si>
    <t>AI Sales Assistant &amp; Lead Intelligence Platform — SDLC Execution Plan</t>
  </si>
  <si>
    <t>Project Start Date</t>
  </si>
  <si>
    <t>#</t>
  </si>
  <si>
    <t>Role</t>
  </si>
  <si>
    <t>Day</t>
  </si>
  <si>
    <t>Team Member (Name)</t>
  </si>
  <si>
    <t>Date</t>
  </si>
  <si>
    <t>Primary Responsibility</t>
  </si>
  <si>
    <t>SDLC Phase</t>
  </si>
  <si>
    <t>Modules Owned</t>
  </si>
  <si>
    <t>Milestone</t>
  </si>
  <si>
    <t>Tech Stack</t>
  </si>
  <si>
    <t>Module Focus</t>
  </si>
  <si>
    <t>Key Task</t>
  </si>
  <si>
    <t>Owner (Role)</t>
  </si>
  <si>
    <t>Module</t>
  </si>
  <si>
    <t>Deliverable</t>
  </si>
  <si>
    <t>Task</t>
  </si>
  <si>
    <t>Status</t>
  </si>
  <si>
    <t>Start Day</t>
  </si>
  <si>
    <t>Project End Date (Day 30)</t>
  </si>
  <si>
    <t>End Day</t>
  </si>
  <si>
    <t>Project Lead / Scrum Master</t>
  </si>
  <si>
    <t>Start Date</t>
  </si>
  <si>
    <t>End Date</t>
  </si>
  <si>
    <t>Divya Bharathi I</t>
  </si>
  <si>
    <t>Duration (Days)</t>
  </si>
  <si>
    <t>Sprint planning, task allocation, client demo, risk tracking, evaluation sign-off</t>
  </si>
  <si>
    <t>All modules (oversight)</t>
  </si>
  <si>
    <t>Jira/Trello, Git, Docs</t>
  </si>
  <si>
    <t>Backend Developer</t>
  </si>
  <si>
    <t>Total Duration</t>
  </si>
  <si>
    <t>30 Days (incl. weekends as buffer/testing days)</t>
  </si>
  <si>
    <t>FastAPI endpoints, business logic, API security, RBAC, integration layer</t>
  </si>
  <si>
    <t>Module 1: Lead Management &amp; Prospect Database</t>
  </si>
  <si>
    <t>Module 1, 3, 4, 5 (API layer)</t>
  </si>
  <si>
    <t>FastAPI, Pydantic, JWT</t>
  </si>
  <si>
    <t>Planning &amp; Requirement Analysis</t>
  </si>
  <si>
    <t>Kickoff</t>
  </si>
  <si>
    <t>All Modules</t>
  </si>
  <si>
    <t>Database / DevOps Engineer</t>
  </si>
  <si>
    <t>Guna Shekar Naidu Khandapu</t>
  </si>
  <si>
    <t>PostgreSQL schema, migrations, indexing, Docker deployment, CI/CD, monitoring</t>
  </si>
  <si>
    <t>Requirement gathering, finalize scope, review architecture &amp; DB schema diagrams</t>
  </si>
  <si>
    <t>Design DB schema (Leads, Users, CRM_Sync_Logs)</t>
  </si>
  <si>
    <t>Database/DevOps Engineer</t>
  </si>
  <si>
    <t>Module 1 (DB), Module 6 (deployment)</t>
  </si>
  <si>
    <t>PostgreSQL, SQLAlchemy, Docker</t>
  </si>
  <si>
    <t>Project Lead + Full Team</t>
  </si>
  <si>
    <t>Signed-off SRS document</t>
  </si>
  <si>
    <t>AI/ML Engineer</t>
  </si>
  <si>
    <t>Jagadeesh</t>
  </si>
  <si>
    <t>LangGraph agents, LLM prompt design, lead scoring model, outreach generation, summarization</t>
  </si>
  <si>
    <t>Module 2, 3, 4, 5 (AI layer)</t>
  </si>
  <si>
    <t>LangGraph, Groq/OpenAI API</t>
  </si>
  <si>
    <t>Completed</t>
  </si>
  <si>
    <t>Frontend Developer</t>
  </si>
  <si>
    <t>Gopika Rajendiran</t>
  </si>
  <si>
    <t>Streamlit UI, dashboard, theming/CSS, session state, API integration on client side</t>
  </si>
  <si>
    <t>How to use this workbook</t>
  </si>
  <si>
    <t>Module 1 UI, Module 6 (Dashboard)</t>
  </si>
  <si>
    <t>Streamlit, Plotly/Altair, CSS</t>
  </si>
  <si>
    <t>QA / Test Engineer</t>
  </si>
  <si>
    <t>Gilagalla Karthik</t>
  </si>
  <si>
    <t>1. Set the Project Start Date in cell C5 (yellow) — all schedule dates recalculate automatically.</t>
  </si>
  <si>
    <t>Test case design, functional &amp; integration testing, UAT, accuracy validation (scoring, insights)</t>
  </si>
  <si>
    <t>All modules (testing)</t>
  </si>
  <si>
    <t>Pytest, Postman, Manual QA</t>
  </si>
  <si>
    <t>2. 'Team Assignment' sheet — assign real names against each role.</t>
  </si>
  <si>
    <t>Define API contracts (endpoints list), tech stack finalization, repo &amp; branching setup</t>
  </si>
  <si>
    <t>Project Lead + Backend Dev</t>
  </si>
  <si>
    <t>Git repo, API contract doc</t>
  </si>
  <si>
    <t>3. '30-Day Schedule' sheet — day-by-day SDLC plan with owner and deliverable per day.</t>
  </si>
  <si>
    <t>4. 'Module Task Breakdown' sheet — detailed task list per module mapped to owners with start/end dates.</t>
  </si>
  <si>
    <t>5. 'Milestone Tracker' sheet — high-level 4-milestone view with evaluation criteria and sign-off status.</t>
  </si>
  <si>
    <t>6. Update the 'Status' columns (dropdown: Not Started / In Progress / Completed / Blocked) as the team executes.</t>
  </si>
  <si>
    <t>Sprint planning for Milestone 1; task breakdown &amp; estimation in tracker</t>
  </si>
  <si>
    <t>Project Lead</t>
  </si>
  <si>
    <t>Sprint 1 backlog</t>
  </si>
  <si>
    <t>Team Size Assumption</t>
  </si>
  <si>
    <t>6 members: Project Lead, Backend Developer, Frontend Developer, AI/ML Engineer, Database/DevOps Engineer, QA Engineer</t>
  </si>
  <si>
    <t>Finalized schema + migrations</t>
  </si>
  <si>
    <t>System &amp; Database Design</t>
  </si>
  <si>
    <t>Milestone 1 Prep</t>
  </si>
  <si>
    <t>Module 1</t>
  </si>
  <si>
    <t>Design ER diagram &amp; finalize PostgreSQL schema (Leads, Users, CRM_Sync_Logs)</t>
  </si>
  <si>
    <t>Finalized DB schema + migration scripts</t>
  </si>
  <si>
    <t>Build prospect CRUD APIs</t>
  </si>
  <si>
    <t>Module 1/6</t>
  </si>
  <si>
    <t>Design Streamlit wireframes (Leads, Outreach, Conversations, Dashboard tabs)</t>
  </si>
  <si>
    <t>UI wireframes / mockups</t>
  </si>
  <si>
    <t>Module 2</t>
  </si>
  <si>
    <t>FastAPI CRUD endpoints</t>
  </si>
  <si>
    <t>Design LangGraph agent architecture (Research, Qualification, Outreach, CRM agents)</t>
  </si>
  <si>
    <t>Agent architecture diagram</t>
  </si>
  <si>
    <t>Build lead import (CSV/manual) with de-duplication</t>
  </si>
  <si>
    <t>Development</t>
  </si>
  <si>
    <t>Lead import module</t>
  </si>
  <si>
    <t>Milestone 1</t>
  </si>
  <si>
    <t>Implement Lead/Prospect DB models, CRUD APIs (create/edit/search prospects)</t>
  </si>
  <si>
    <t>Build Leads UI (search list + detail panel)</t>
  </si>
  <si>
    <t>Prospect CRUD API (FastAPI)</t>
  </si>
  <si>
    <t>Leads tab (Streamlit)</t>
  </si>
  <si>
    <t>Build lead import (CSV upload, manual entry) with duplicate detection</t>
  </si>
  <si>
    <t>Module 2: Lead Intelligence &amp; Company Analysis</t>
  </si>
  <si>
    <t>Build Streamlit 'Leads' tab: prospect search list + detail panel</t>
  </si>
  <si>
    <t>Leads UI screen</t>
  </si>
  <si>
    <t>Design LangGraph agent architecture</t>
  </si>
  <si>
    <t>Implement company profile analysis logic (industry, size, tech stack ingestion)</t>
  </si>
  <si>
    <t>Company profile analysis service</t>
  </si>
  <si>
    <t>Build AI qualification scoring prompt + Lead Intelligence card generation</t>
  </si>
  <si>
    <t>Qualification score engine</t>
  </si>
  <si>
    <t>Integrate Lead Intelligence output into Leads UI (score badge, insights panel)</t>
  </si>
  <si>
    <t>Frontend Developer + AI/ML Engineer</t>
  </si>
  <si>
    <t>Lead Intelligence UI integration</t>
  </si>
  <si>
    <t>Build company profile analysis service</t>
  </si>
  <si>
    <t>Company analysis service</t>
  </si>
  <si>
    <t>Build qualification scoring engine</t>
  </si>
  <si>
    <t>Testing &amp; QA</t>
  </si>
  <si>
    <t>Module 1/2</t>
  </si>
  <si>
    <t>Qualification score API</t>
  </si>
  <si>
    <t>Unit test lead CRUD + review qualification score accuracy on sample data</t>
  </si>
  <si>
    <t>QA Engineer</t>
  </si>
  <si>
    <t>Milestone 1 test report</t>
  </si>
  <si>
    <t>Integrate insights into Leads UI</t>
  </si>
  <si>
    <t>Milestone 1 review: ≥95% prospect records manageable, insights accuracy check; sign-off</t>
  </si>
  <si>
    <t>Lead Intelligence panel</t>
  </si>
  <si>
    <t>Project Lead + QA</t>
  </si>
  <si>
    <t>Milestone 1 sign-off (Day 14 checkpoint)</t>
  </si>
  <si>
    <t>Module 3: AI Outreach Generation</t>
  </si>
  <si>
    <t>Build outreach/email generation service</t>
  </si>
  <si>
    <t>Milestone 2</t>
  </si>
  <si>
    <t>Module 3</t>
  </si>
  <si>
    <t>Build AI email/outreach generation service (prompt templates per industry)</t>
  </si>
  <si>
    <t>Outreach generation API</t>
  </si>
  <si>
    <t>Build Streamlit 'Outreach' tab: AI Email Generator UI with edit-before-send</t>
  </si>
  <si>
    <t>Outreach UI screen</t>
  </si>
  <si>
    <t>Module 4</t>
  </si>
  <si>
    <t>Implement lead scoring &amp; conversion probability model (rules/ML features)</t>
  </si>
  <si>
    <t>AI/ML Engineer + Backend Developer</t>
  </si>
  <si>
    <t>Lead scoring engine</t>
  </si>
  <si>
    <t>Build Outreach UI (AI Email Generator)</t>
  </si>
  <si>
    <t>Build recommendation engine: follow-up timing, channel mix, content strategy</t>
  </si>
  <si>
    <t>Recommendation engine service</t>
  </si>
  <si>
    <t>Integrate Lead Score + Outreach Strategy cards into Outreach UI</t>
  </si>
  <si>
    <t>Outreach Strategy UI panel</t>
  </si>
  <si>
    <t>Module 3/4</t>
  </si>
  <si>
    <t>Validate lead scoring accuracy (target ≥85%), test outreach across 3+ industries; sign-off</t>
  </si>
  <si>
    <t>QA Engineer + Project Lead</t>
  </si>
  <si>
    <t>Outreach tab (Streamlit)</t>
  </si>
  <si>
    <t>Milestone 2 sign-off (Day 20 checkpoint)</t>
  </si>
  <si>
    <t>Milestone 3</t>
  </si>
  <si>
    <t>Module 4: Lead Scoring &amp; Recommendation Engine</t>
  </si>
  <si>
    <t>Module 5</t>
  </si>
  <si>
    <t>Build FastAPI endpoints for CRM integration (Salesforce/HubSpot schema mapping)</t>
  </si>
  <si>
    <t>Build lead scoring &amp; conversion probability model</t>
  </si>
  <si>
    <t>CRM integration API</t>
  </si>
  <si>
    <t>Implement CRM sync logic (contacts, activities, deal stages) + sync logs</t>
  </si>
  <si>
    <t>Backend Developer + DevOps Engineer</t>
  </si>
  <si>
    <t>CRM sync service</t>
  </si>
  <si>
    <t>Build meeting/call summarization (key points + action item extraction) via LLM</t>
  </si>
  <si>
    <t>Conversation summarization service</t>
  </si>
  <si>
    <t>Lead scoring API</t>
  </si>
  <si>
    <t>Build next-best-action recommendation engine</t>
  </si>
  <si>
    <t>Build Streamlit 'Conversations' tab: CRM Sync Status + Meeting Summary + Activity feed</t>
  </si>
  <si>
    <t>Conversations UI screen</t>
  </si>
  <si>
    <t>Recommendation service</t>
  </si>
  <si>
    <t>Integrate scoring &amp; strategy into Outreach UI</t>
  </si>
  <si>
    <t>Test CRM sync across workflows, validate summarization output quality; sign-off</t>
  </si>
  <si>
    <t>Milestone 3 sign-off (Day 25 checkpoint)</t>
  </si>
  <si>
    <t>Milestone 4</t>
  </si>
  <si>
    <t>Module 6</t>
  </si>
  <si>
    <t>Build Sales Analytics Dashboard (conversion rate, pipeline value, sales cycle KPIs)</t>
  </si>
  <si>
    <t>Frontend Developer + Backend Developer</t>
  </si>
  <si>
    <t>Dashboard UI + analytics API</t>
  </si>
  <si>
    <t>Outreach Strategy panel</t>
  </si>
  <si>
    <t>Module 5: Conversation Intelligence &amp; CRM Integration</t>
  </si>
  <si>
    <t>Implement Kanban-style pipeline view + automated follow-up recommendations panel</t>
  </si>
  <si>
    <t>Pipeline view + follow-up panel</t>
  </si>
  <si>
    <t>Build CRM integration APIs (Salesforce/HubSpot mapping)</t>
  </si>
  <si>
    <t>Integration</t>
  </si>
  <si>
    <t>End-to-end integration of all 6 modules; performance tuning (&lt;5 sec response target)</t>
  </si>
  <si>
    <t>Full Team</t>
  </si>
  <si>
    <t>Integrated end-to-end build</t>
  </si>
  <si>
    <t>Implement CRM sync logic + sync logs</t>
  </si>
  <si>
    <t>Full regression testing, UAT with sample users, capture satisfaction score (target ≥85%)</t>
  </si>
  <si>
    <t>UAT report + test sign-off</t>
  </si>
  <si>
    <t>Build meeting/call summarization + action item extraction</t>
  </si>
  <si>
    <t>Summarization service</t>
  </si>
  <si>
    <t>Build Conversations UI (sync status, summary, activity feed)</t>
  </si>
  <si>
    <t>Deployment &amp; Closure</t>
  </si>
  <si>
    <t>Conversations tab (Streamlit)</t>
  </si>
  <si>
    <t>Deploy to production/staging (Docker), final demo, documentation handover, retrospective</t>
  </si>
  <si>
    <t>Module 6: Dashboard &amp; Sales Analytics</t>
  </si>
  <si>
    <t>Deployed app + final demo + project closure doc</t>
  </si>
  <si>
    <t>Build analytics API (conversion rate, pipeline value, KPIs)</t>
  </si>
  <si>
    <t>Analytics API</t>
  </si>
  <si>
    <t>Build dashboard UI + pipeline Kanban view</t>
  </si>
  <si>
    <t>Dashboard tab (Streamlit)</t>
  </si>
  <si>
    <t>Build automated follow-up recommendation panel</t>
  </si>
  <si>
    <t>AI/ML Engineer + Frontend Developer</t>
  </si>
  <si>
    <t>Follow-up panel</t>
  </si>
  <si>
    <t>Cross-Module</t>
  </si>
  <si>
    <t>End-to-end integration &amp; performance tuning</t>
  </si>
  <si>
    <t>Integrated build</t>
  </si>
  <si>
    <t>Full regression testing &amp; UAT</t>
  </si>
  <si>
    <t>Milestone Tracker &amp; Evaluation Criteria</t>
  </si>
  <si>
    <t>UAT + test report</t>
  </si>
  <si>
    <t>Day Range</t>
  </si>
  <si>
    <t>Deployment, documentation &amp; final demo</t>
  </si>
  <si>
    <t>Modules Covered</t>
  </si>
  <si>
    <t>Evaluation Criteria</t>
  </si>
  <si>
    <t>Deployed app + docs</t>
  </si>
  <si>
    <t>Sign-off Status</t>
  </si>
  <si>
    <t>Day 1-14</t>
  </si>
  <si>
    <t>Module 1 (Lead Management) + Module 2 (Lead Intelligence)</t>
  </si>
  <si>
    <t>Manage/analyze ≥95% of prospect records; generate accurate company insights &amp; lead intelligence</t>
  </si>
  <si>
    <t>Signed Off</t>
  </si>
  <si>
    <t>Day 15-20</t>
  </si>
  <si>
    <t>Module 3 (AI Outreach) + Module 4 (Lead Scoring)</t>
  </si>
  <si>
    <t>Lead scoring accuracy ≥85%; personalized outreach content generated for multiple industries</t>
  </si>
  <si>
    <t>Day 21-25</t>
  </si>
  <si>
    <t>Module 5 (CRM Integration &amp; Conversation Intelligence)</t>
  </si>
  <si>
    <t>CRM integration functions correctly across supported workflows; sales conversation summaries generated successfully</t>
  </si>
  <si>
    <t>Day 26-30</t>
  </si>
  <si>
    <t>Module 6 (Dashboard &amp; Analytics) + Full Integration</t>
  </si>
  <si>
    <t>Dashboard fully operational; end-to-end workflow functional; response time &lt;5 sec; user satisfaction ≥85%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</si>
</sst>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\-mmm\-yyyy"/>
    <numFmt numFmtId="165" formatCode="ddd&quot;, &quot;dd\-mmm"/>
  </numFmts>
  <fonts count="7">
    <font>
      <sz val="11.0"/>
      <color theme="1"/>
      <name val="Calibri"/>
      <scheme val="minor"/>
    </font>
    <font>
      <b/>
      <sz val="16.0"/>
      <color rgb="FF1F4E78"/>
      <name val="Arial"/>
    </font>
    <font>
      <i/>
      <sz val="10.0"/>
      <color rgb="FF595959"/>
      <name val="Arial"/>
    </font>
    <font>
      <b/>
      <sz val="11.0"/>
      <color rgb="FFFFFFFF"/>
      <name val="Arial"/>
    </font>
    <font>
      <b/>
      <sz val="10.0"/>
      <color theme="1"/>
      <name val="Arial"/>
    </font>
    <font>
      <sz val="10.0"/>
      <color theme="1"/>
      <name val="Arial"/>
    </font>
    <font>
      <sz val="10.0"/>
      <color rgb="FF000000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FFF00"/>
        <bgColor rgb="FFFFFF00"/>
      </patternFill>
    </fill>
    <fill>
      <patternFill patternType="solid">
        <fgColor rgb="FFFCE4D6"/>
        <bgColor rgb="FFFCE4D6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</fills>
  <borders count="3">
    <border/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shrinkToFit="0" vertical="bottom" wrapText="0"/>
    </xf>
    <xf borderId="2" fillId="3" fontId="5" numFmtId="164" xfId="0" applyAlignment="1" applyBorder="1" applyFill="1" applyFont="1" applyNumberFormat="1">
      <alignment readingOrder="0" shrinkToFit="0" vertical="bottom" wrapText="0"/>
    </xf>
    <xf borderId="1" fillId="0" fontId="5" numFmtId="0" xfId="0" applyAlignment="1" applyBorder="1" applyFont="1">
      <alignment horizontal="left" shrinkToFit="0" vertical="top" wrapText="1"/>
    </xf>
    <xf borderId="1" fillId="4" fontId="5" numFmtId="0" xfId="0" applyAlignment="1" applyBorder="1" applyFill="1" applyFont="1">
      <alignment horizontal="center" shrinkToFit="0" vertical="center" wrapText="1"/>
    </xf>
    <xf borderId="1" fillId="3" fontId="5" numFmtId="0" xfId="0" applyAlignment="1" applyBorder="1" applyFill="1" applyFont="1">
      <alignment horizontal="left" readingOrder="0" shrinkToFit="0" vertical="top" wrapText="1"/>
    </xf>
    <xf borderId="0" fillId="0" fontId="5" numFmtId="164" xfId="0" applyAlignment="1" applyFont="1" applyNumberFormat="1">
      <alignment readingOrder="0" shrinkToFit="0" vertical="bottom" wrapText="0"/>
    </xf>
    <xf borderId="1" fillId="4" fontId="6" numFmtId="165" xfId="0" applyAlignment="1" applyBorder="1" applyFill="1" applyFont="1" applyNumberFormat="1">
      <alignment horizontal="center" readingOrder="0" shrinkToFit="0" vertical="bottom" wrapText="0"/>
    </xf>
    <xf borderId="1" fillId="5" fontId="5" numFmtId="0" xfId="0" applyAlignment="1" applyBorder="1" applyFill="1" applyFont="1">
      <alignment horizontal="left" shrinkToFit="0" vertical="top" wrapText="1"/>
    </xf>
    <xf borderId="1" fillId="4" fontId="5" numFmtId="0" xfId="0" applyAlignment="1" applyBorder="1" applyFill="1" applyFont="1">
      <alignment horizontal="left" shrinkToFit="0" vertical="top" wrapText="1"/>
    </xf>
    <xf borderId="1" fillId="5" fontId="5" numFmtId="0" xfId="0" applyAlignment="1" applyBorder="1" applyFill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1" fillId="0" fontId="5" numFmtId="0" xfId="0" applyAlignment="1" applyBorder="1" applyFont="1">
      <alignment horizontal="left" readingOrder="0" shrinkToFit="0" vertical="top" wrapText="1"/>
    </xf>
    <xf borderId="1" fillId="5" fontId="6" numFmtId="164" xfId="0" applyAlignment="1" applyBorder="1" applyFill="1" applyFont="1" applyNumberFormat="1">
      <alignment horizontal="center" readingOrder="0"/>
    </xf>
    <xf borderId="1" fillId="4" fontId="5" numFmtId="0" xfId="0" applyAlignment="1" applyBorder="1" applyFill="1" applyFont="1">
      <alignment horizontal="center" readingOrder="0" shrinkToFit="0" vertical="center" wrapText="1"/>
    </xf>
    <xf borderId="0" fillId="0" fontId="5" numFmtId="0" xfId="0" applyAlignment="1" applyFont="1">
      <alignment horizontal="left" shrinkToFit="0" vertical="top" wrapText="1"/>
    </xf>
    <xf borderId="1" fillId="6" fontId="5" numFmtId="0" xfId="0" applyAlignment="1" applyBorder="1" applyFill="1" applyFont="1">
      <alignment horizontal="center" shrinkToFit="0" vertical="center" wrapText="1"/>
    </xf>
    <xf borderId="1" fillId="6" fontId="6" numFmtId="165" xfId="0" applyAlignment="1" applyBorder="1" applyFill="1" applyFont="1" applyNumberFormat="1">
      <alignment horizontal="center" readingOrder="0" shrinkToFit="0" vertical="bottom" wrapText="0"/>
    </xf>
    <xf borderId="1" fillId="6" fontId="5" numFmtId="0" xfId="0" applyAlignment="1" applyBorder="1" applyFill="1" applyFont="1">
      <alignment horizontal="left" shrinkToFit="0" vertical="top" wrapText="1"/>
    </xf>
    <xf borderId="1" fillId="5" fontId="5" numFmtId="0" xfId="0" applyAlignment="1" applyBorder="1" applyFill="1" applyFont="1">
      <alignment horizontal="center" readingOrder="0" shrinkToFit="0" vertical="center" wrapText="1"/>
    </xf>
    <xf borderId="1" fillId="6" fontId="5" numFmtId="0" xfId="0" applyAlignment="1" applyBorder="1" applyFill="1" applyFont="1">
      <alignment horizontal="center" readingOrder="0" shrinkToFit="0" vertical="center" wrapText="1"/>
    </xf>
    <xf borderId="1" fillId="5" fontId="6" numFmtId="165" xfId="0" applyAlignment="1" applyBorder="1" applyFill="1" applyFont="1" applyNumberFormat="1">
      <alignment horizontal="center" readingOrder="0" shrinkToFit="0" vertical="bottom" wrapText="0"/>
    </xf>
    <xf borderId="1" fillId="7" fontId="5" numFmtId="0" xfId="0" applyAlignment="1" applyBorder="1" applyFill="1" applyFont="1">
      <alignment horizontal="left" shrinkToFit="0" vertical="top" wrapText="1"/>
    </xf>
    <xf borderId="1" fillId="7" fontId="5" numFmtId="0" xfId="0" applyAlignment="1" applyBorder="1" applyFill="1" applyFont="1">
      <alignment horizontal="center" shrinkToFit="0" vertical="center" wrapText="1"/>
    </xf>
    <xf borderId="1" fillId="7" fontId="6" numFmtId="164" xfId="0" applyAlignment="1" applyBorder="1" applyFill="1" applyFont="1" applyNumberFormat="1">
      <alignment horizontal="center" readingOrder="0"/>
    </xf>
    <xf borderId="1" fillId="7" fontId="5" numFmtId="0" xfId="0" applyAlignment="1" applyBorder="1" applyFill="1" applyFont="1">
      <alignment horizontal="center" readingOrder="0" shrinkToFit="0" vertical="center" wrapText="1"/>
    </xf>
    <xf borderId="1" fillId="8" fontId="5" numFmtId="0" xfId="0" applyAlignment="1" applyBorder="1" applyFill="1" applyFont="1">
      <alignment horizontal="center" shrinkToFit="0" vertical="center" wrapText="1"/>
    </xf>
    <xf borderId="1" fillId="8" fontId="6" numFmtId="165" xfId="0" applyAlignment="1" applyBorder="1" applyFill="1" applyFont="1" applyNumberFormat="1">
      <alignment horizontal="center" readingOrder="0" shrinkToFit="0" vertical="bottom" wrapText="0"/>
    </xf>
    <xf borderId="1" fillId="8" fontId="5" numFmtId="0" xfId="0" applyAlignment="1" applyBorder="1" applyFill="1" applyFont="1">
      <alignment horizontal="left" shrinkToFit="0" vertical="top" wrapText="1"/>
    </xf>
    <xf borderId="1" fillId="8" fontId="5" numFmtId="0" xfId="0" applyAlignment="1" applyBorder="1" applyFill="1" applyFont="1">
      <alignment horizontal="center" readingOrder="0" shrinkToFit="0" vertical="center" wrapText="1"/>
    </xf>
    <xf borderId="1" fillId="6" fontId="6" numFmtId="164" xfId="0" applyAlignment="1" applyBorder="1" applyFill="1" applyFont="1" applyNumberFormat="1">
      <alignment horizontal="center" readingOrder="0"/>
    </xf>
    <xf borderId="1" fillId="4" fontId="6" numFmtId="164" xfId="0" applyAlignment="1" applyBorder="1" applyFill="1" applyFont="1" applyNumberFormat="1">
      <alignment horizontal="center" readingOrder="0"/>
    </xf>
    <xf borderId="1" fillId="9" fontId="5" numFmtId="0" xfId="0" applyAlignment="1" applyBorder="1" applyFill="1" applyFont="1">
      <alignment horizontal="left" shrinkToFit="0" vertical="top" wrapText="1"/>
    </xf>
    <xf borderId="1" fillId="7" fontId="6" numFmtId="165" xfId="0" applyAlignment="1" applyBorder="1" applyFill="1" applyFont="1" applyNumberFormat="1">
      <alignment horizontal="center" readingOrder="0" shrinkToFit="0" vertical="bottom" wrapText="0"/>
    </xf>
    <xf borderId="1" fillId="9" fontId="5" numFmtId="0" xfId="0" applyAlignment="1" applyBorder="1" applyFill="1" applyFont="1">
      <alignment horizontal="center" shrinkToFit="0" vertical="center" wrapText="1"/>
    </xf>
    <xf borderId="1" fillId="9" fontId="6" numFmtId="164" xfId="0" applyAlignment="1" applyBorder="1" applyFill="1" applyFont="1" applyNumberFormat="1">
      <alignment horizontal="center" readingOrder="0"/>
    </xf>
    <xf borderId="1" fillId="9" fontId="5" numFmtId="0" xfId="0" applyAlignment="1" applyBorder="1" applyFill="1" applyFont="1">
      <alignment horizontal="center" readingOrder="0" shrinkToFit="0" vertical="center" wrapText="1"/>
    </xf>
    <xf borderId="1" fillId="10" fontId="5" numFmtId="0" xfId="0" applyAlignment="1" applyBorder="1" applyFill="1" applyFont="1">
      <alignment horizontal="center" shrinkToFit="0" vertical="center" wrapText="1"/>
    </xf>
    <xf borderId="1" fillId="10" fontId="6" numFmtId="165" xfId="0" applyAlignment="1" applyBorder="1" applyFill="1" applyFont="1" applyNumberFormat="1">
      <alignment horizontal="center" readingOrder="0" shrinkToFit="0" vertical="bottom" wrapText="0"/>
    </xf>
    <xf borderId="1" fillId="10" fontId="5" numFmtId="0" xfId="0" applyAlignment="1" applyBorder="1" applyFill="1" applyFont="1">
      <alignment horizontal="left" shrinkToFit="0" vertical="top" wrapText="1"/>
    </xf>
    <xf borderId="1" fillId="10" fontId="5" numFmtId="0" xfId="0" applyAlignment="1" applyBorder="1" applyFill="1" applyFont="1">
      <alignment horizontal="center" readingOrder="0" shrinkToFit="0" vertical="center" wrapText="1"/>
    </xf>
    <xf borderId="1" fillId="10" fontId="6" numFmtId="164" xfId="0" applyAlignment="1" applyBorder="1" applyFill="1" applyFont="1" applyNumberFormat="1">
      <alignment horizontal="center" readingOrder="0"/>
    </xf>
    <xf borderId="1" fillId="8" fontId="6" numFmtId="164" xfId="0" applyAlignment="1" applyBorder="1" applyFill="1" applyFont="1" applyNumberFormat="1">
      <alignment horizontal="center" readingOrder="0"/>
    </xf>
    <xf borderId="1" fillId="0" fontId="5" numFmtId="0" xfId="0" applyAlignment="1" applyBorder="1" applyFont="1">
      <alignment horizontal="center" shrinkToFit="0" vertical="center" wrapText="1"/>
    </xf>
    <xf borderId="1" fillId="0" fontId="5" numFmtId="164" xfId="0" applyAlignment="1" applyBorder="1" applyFont="1" applyNumberFormat="1">
      <alignment horizontal="center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70.0"/>
    <col customWidth="1" min="3" max="3" width="20.0"/>
    <col customWidth="1" min="4" max="8" width="14.0"/>
    <col customWidth="1" min="9" max="26" width="8.71"/>
  </cols>
  <sheetData>
    <row r="2">
      <c r="B2" s="2" t="s">
        <v>2</v>
      </c>
    </row>
    <row r="3">
      <c r="B3" s="3" t="s">
        <v>5</v>
      </c>
    </row>
    <row r="5">
      <c r="B5" s="5" t="s">
        <v>6</v>
      </c>
      <c r="C5" s="6">
        <v>46218.0</v>
      </c>
    </row>
    <row r="6">
      <c r="B6" s="5" t="s">
        <v>25</v>
      </c>
      <c r="C6" s="10">
        <v>46259.0</v>
      </c>
    </row>
    <row r="7">
      <c r="B7" s="5" t="s">
        <v>36</v>
      </c>
      <c r="C7" s="15" t="s">
        <v>37</v>
      </c>
    </row>
    <row r="9">
      <c r="B9" s="5" t="s">
        <v>64</v>
      </c>
    </row>
    <row r="10">
      <c r="B10" s="19" t="s">
        <v>69</v>
      </c>
    </row>
    <row r="11">
      <c r="B11" s="19" t="s">
        <v>73</v>
      </c>
    </row>
    <row r="12">
      <c r="B12" s="19" t="s">
        <v>77</v>
      </c>
    </row>
    <row r="13">
      <c r="B13" s="19" t="s">
        <v>78</v>
      </c>
    </row>
    <row r="14">
      <c r="B14" s="19" t="s">
        <v>79</v>
      </c>
    </row>
    <row r="15">
      <c r="B15" s="19" t="s">
        <v>80</v>
      </c>
    </row>
    <row r="17">
      <c r="B17" s="5" t="s">
        <v>84</v>
      </c>
    </row>
    <row r="18" ht="15.0" customHeight="1">
      <c r="B18" s="19" t="s">
        <v>85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8:H18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4.0"/>
    <col customWidth="1" min="3" max="3" width="28.0"/>
    <col customWidth="1" min="4" max="4" width="29.57"/>
    <col customWidth="1" min="5" max="5" width="42.0"/>
    <col customWidth="1" min="6" max="6" width="30.0"/>
    <col customWidth="1" min="7" max="7" width="26.0"/>
    <col customWidth="1" min="8" max="26" width="8.71"/>
  </cols>
  <sheetData>
    <row r="2">
      <c r="B2" s="1" t="s">
        <v>1</v>
      </c>
    </row>
    <row r="4" ht="45.75" customHeight="1">
      <c r="A4" s="4"/>
      <c r="B4" s="4" t="s">
        <v>7</v>
      </c>
      <c r="C4" s="4" t="s">
        <v>8</v>
      </c>
      <c r="D4" s="4" t="s">
        <v>10</v>
      </c>
      <c r="E4" s="4" t="s">
        <v>12</v>
      </c>
      <c r="F4" s="4" t="s">
        <v>14</v>
      </c>
      <c r="G4" s="4" t="s">
        <v>16</v>
      </c>
    </row>
    <row r="5" ht="45.0" customHeight="1">
      <c r="B5" s="7">
        <v>1.0</v>
      </c>
      <c r="C5" s="7" t="s">
        <v>27</v>
      </c>
      <c r="D5" s="9" t="s">
        <v>30</v>
      </c>
      <c r="E5" s="7" t="s">
        <v>32</v>
      </c>
      <c r="F5" s="7" t="s">
        <v>33</v>
      </c>
      <c r="G5" s="7" t="s">
        <v>34</v>
      </c>
    </row>
    <row r="6" ht="45.0" customHeight="1">
      <c r="B6" s="7">
        <v>2.0</v>
      </c>
      <c r="C6" s="7" t="s">
        <v>35</v>
      </c>
      <c r="D6" s="9" t="s">
        <v>30</v>
      </c>
      <c r="E6" s="7" t="s">
        <v>38</v>
      </c>
      <c r="F6" s="7" t="s">
        <v>40</v>
      </c>
      <c r="G6" s="7" t="s">
        <v>41</v>
      </c>
    </row>
    <row r="7" ht="45.0" customHeight="1">
      <c r="B7" s="7">
        <v>3.0</v>
      </c>
      <c r="C7" s="7" t="s">
        <v>45</v>
      </c>
      <c r="D7" s="9" t="s">
        <v>46</v>
      </c>
      <c r="E7" s="7" t="s">
        <v>47</v>
      </c>
      <c r="F7" s="7" t="s">
        <v>51</v>
      </c>
      <c r="G7" s="7" t="s">
        <v>52</v>
      </c>
    </row>
    <row r="8" ht="45.0" customHeight="1">
      <c r="B8" s="7">
        <v>4.0</v>
      </c>
      <c r="C8" s="7" t="s">
        <v>55</v>
      </c>
      <c r="D8" s="9" t="s">
        <v>56</v>
      </c>
      <c r="E8" s="7" t="s">
        <v>57</v>
      </c>
      <c r="F8" s="7" t="s">
        <v>58</v>
      </c>
      <c r="G8" s="16" t="s">
        <v>59</v>
      </c>
    </row>
    <row r="9" ht="45.0" customHeight="1">
      <c r="B9" s="7">
        <v>5.0</v>
      </c>
      <c r="C9" s="7" t="s">
        <v>61</v>
      </c>
      <c r="D9" s="9" t="s">
        <v>62</v>
      </c>
      <c r="E9" s="7" t="s">
        <v>63</v>
      </c>
      <c r="F9" s="7" t="s">
        <v>65</v>
      </c>
      <c r="G9" s="7" t="s">
        <v>66</v>
      </c>
    </row>
    <row r="10" ht="45.0" customHeight="1">
      <c r="B10" s="7">
        <v>6.0</v>
      </c>
      <c r="C10" s="7" t="s">
        <v>67</v>
      </c>
      <c r="D10" s="9" t="s">
        <v>68</v>
      </c>
      <c r="E10" s="7" t="s">
        <v>70</v>
      </c>
      <c r="F10" s="7" t="s">
        <v>71</v>
      </c>
      <c r="G10" s="7" t="s">
        <v>72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5.0"/>
    <col customWidth="1" min="3" max="3" width="18.43"/>
    <col customWidth="1" min="4" max="4" width="26.0"/>
    <col customWidth="1" min="5" max="5" width="14.0"/>
    <col customWidth="1" min="6" max="6" width="22.0"/>
    <col customWidth="1" min="7" max="7" width="40.14"/>
    <col customWidth="1" min="8" max="8" width="22.0"/>
    <col customWidth="1" min="9" max="9" width="26.0"/>
    <col customWidth="1" min="10" max="10" width="14.0"/>
    <col customWidth="1" min="11" max="26" width="8.71"/>
  </cols>
  <sheetData>
    <row r="2">
      <c r="B2" s="1" t="s">
        <v>3</v>
      </c>
    </row>
    <row r="3">
      <c r="B3" s="3" t="s">
        <v>4</v>
      </c>
    </row>
    <row r="5">
      <c r="A5" s="4"/>
      <c r="B5" s="4" t="s">
        <v>9</v>
      </c>
      <c r="C5" s="4" t="s">
        <v>11</v>
      </c>
      <c r="D5" s="4" t="s">
        <v>13</v>
      </c>
      <c r="E5" s="4" t="s">
        <v>15</v>
      </c>
      <c r="F5" s="4" t="s">
        <v>17</v>
      </c>
      <c r="G5" s="4" t="s">
        <v>18</v>
      </c>
      <c r="H5" s="4" t="s">
        <v>19</v>
      </c>
      <c r="I5" s="4" t="s">
        <v>21</v>
      </c>
      <c r="J5" s="4" t="s">
        <v>23</v>
      </c>
    </row>
    <row r="6" ht="31.5" customHeight="1">
      <c r="B6" s="8">
        <v>1.0</v>
      </c>
      <c r="C6" s="11">
        <v>46218.0</v>
      </c>
      <c r="D6" s="8" t="s">
        <v>42</v>
      </c>
      <c r="E6" s="8" t="s">
        <v>43</v>
      </c>
      <c r="F6" s="8" t="s">
        <v>44</v>
      </c>
      <c r="G6" s="13" t="s">
        <v>48</v>
      </c>
      <c r="H6" s="13" t="s">
        <v>53</v>
      </c>
      <c r="I6" s="13" t="s">
        <v>54</v>
      </c>
      <c r="J6" s="18" t="s">
        <v>60</v>
      </c>
    </row>
    <row r="7" ht="31.5" customHeight="1">
      <c r="B7" s="8">
        <v>2.0</v>
      </c>
      <c r="C7" s="11">
        <v>46219.0</v>
      </c>
      <c r="D7" s="8" t="s">
        <v>42</v>
      </c>
      <c r="E7" s="8" t="s">
        <v>43</v>
      </c>
      <c r="F7" s="8" t="s">
        <v>44</v>
      </c>
      <c r="G7" s="13" t="s">
        <v>74</v>
      </c>
      <c r="H7" s="13" t="s">
        <v>75</v>
      </c>
      <c r="I7" s="13" t="s">
        <v>76</v>
      </c>
      <c r="J7" s="18" t="s">
        <v>60</v>
      </c>
    </row>
    <row r="8" ht="31.5" customHeight="1">
      <c r="B8" s="8">
        <v>3.0</v>
      </c>
      <c r="C8" s="11">
        <v>46220.0</v>
      </c>
      <c r="D8" s="8" t="s">
        <v>42</v>
      </c>
      <c r="E8" s="8" t="s">
        <v>43</v>
      </c>
      <c r="F8" s="8" t="s">
        <v>44</v>
      </c>
      <c r="G8" s="13" t="s">
        <v>81</v>
      </c>
      <c r="H8" s="13" t="s">
        <v>82</v>
      </c>
      <c r="I8" s="13" t="s">
        <v>83</v>
      </c>
      <c r="J8" s="18" t="s">
        <v>60</v>
      </c>
    </row>
    <row r="9" ht="31.5" customHeight="1">
      <c r="B9" s="20">
        <v>4.0</v>
      </c>
      <c r="C9" s="21">
        <v>46223.0</v>
      </c>
      <c r="D9" s="20" t="s">
        <v>87</v>
      </c>
      <c r="E9" s="20" t="s">
        <v>88</v>
      </c>
      <c r="F9" s="20" t="s">
        <v>89</v>
      </c>
      <c r="G9" s="22" t="s">
        <v>90</v>
      </c>
      <c r="H9" s="22" t="s">
        <v>50</v>
      </c>
      <c r="I9" s="22" t="s">
        <v>91</v>
      </c>
      <c r="J9" s="24" t="s">
        <v>60</v>
      </c>
    </row>
    <row r="10" ht="31.5" customHeight="1">
      <c r="B10" s="20">
        <v>5.0</v>
      </c>
      <c r="C10" s="21">
        <v>46224.0</v>
      </c>
      <c r="D10" s="20" t="s">
        <v>87</v>
      </c>
      <c r="E10" s="20" t="s">
        <v>88</v>
      </c>
      <c r="F10" s="20" t="s">
        <v>93</v>
      </c>
      <c r="G10" s="22" t="s">
        <v>94</v>
      </c>
      <c r="H10" s="22" t="s">
        <v>61</v>
      </c>
      <c r="I10" s="22" t="s">
        <v>95</v>
      </c>
      <c r="J10" s="24" t="s">
        <v>60</v>
      </c>
    </row>
    <row r="11" ht="36.75" customHeight="1">
      <c r="B11" s="20">
        <v>6.0</v>
      </c>
      <c r="C11" s="21">
        <v>46225.0</v>
      </c>
      <c r="D11" s="20" t="s">
        <v>87</v>
      </c>
      <c r="E11" s="20" t="s">
        <v>88</v>
      </c>
      <c r="F11" s="20" t="s">
        <v>96</v>
      </c>
      <c r="G11" s="22" t="s">
        <v>98</v>
      </c>
      <c r="H11" s="22" t="s">
        <v>55</v>
      </c>
      <c r="I11" s="22" t="s">
        <v>99</v>
      </c>
      <c r="J11" s="24" t="s">
        <v>60</v>
      </c>
    </row>
    <row r="12" ht="31.5" customHeight="1">
      <c r="B12" s="14">
        <v>7.0</v>
      </c>
      <c r="C12" s="25">
        <v>46226.0</v>
      </c>
      <c r="D12" s="14" t="s">
        <v>101</v>
      </c>
      <c r="E12" s="14" t="s">
        <v>103</v>
      </c>
      <c r="F12" s="14" t="s">
        <v>89</v>
      </c>
      <c r="G12" s="12" t="s">
        <v>104</v>
      </c>
      <c r="H12" s="12" t="s">
        <v>35</v>
      </c>
      <c r="I12" s="12" t="s">
        <v>106</v>
      </c>
      <c r="J12" s="23" t="s">
        <v>60</v>
      </c>
    </row>
    <row r="13" ht="31.5" customHeight="1">
      <c r="B13" s="14">
        <v>8.0</v>
      </c>
      <c r="C13" s="25">
        <v>46227.0</v>
      </c>
      <c r="D13" s="14" t="s">
        <v>101</v>
      </c>
      <c r="E13" s="14" t="s">
        <v>103</v>
      </c>
      <c r="F13" s="14" t="s">
        <v>89</v>
      </c>
      <c r="G13" s="12" t="s">
        <v>108</v>
      </c>
      <c r="H13" s="12" t="s">
        <v>35</v>
      </c>
      <c r="I13" s="12" t="s">
        <v>102</v>
      </c>
      <c r="J13" s="23" t="s">
        <v>60</v>
      </c>
    </row>
    <row r="14" ht="31.5" customHeight="1">
      <c r="B14" s="14">
        <v>9.0</v>
      </c>
      <c r="C14" s="25">
        <v>46230.0</v>
      </c>
      <c r="D14" s="14" t="s">
        <v>101</v>
      </c>
      <c r="E14" s="14" t="s">
        <v>103</v>
      </c>
      <c r="F14" s="14" t="s">
        <v>89</v>
      </c>
      <c r="G14" s="12" t="s">
        <v>110</v>
      </c>
      <c r="H14" s="12" t="s">
        <v>61</v>
      </c>
      <c r="I14" s="12" t="s">
        <v>111</v>
      </c>
      <c r="J14" s="23" t="s">
        <v>60</v>
      </c>
    </row>
    <row r="15" ht="31.5" customHeight="1">
      <c r="B15" s="14">
        <v>10.0</v>
      </c>
      <c r="C15" s="25">
        <v>46231.0</v>
      </c>
      <c r="D15" s="14" t="s">
        <v>101</v>
      </c>
      <c r="E15" s="14" t="s">
        <v>103</v>
      </c>
      <c r="F15" s="14" t="s">
        <v>96</v>
      </c>
      <c r="G15" s="12" t="s">
        <v>113</v>
      </c>
      <c r="H15" s="12" t="s">
        <v>55</v>
      </c>
      <c r="I15" s="12" t="s">
        <v>114</v>
      </c>
      <c r="J15" s="23" t="s">
        <v>60</v>
      </c>
    </row>
    <row r="16" ht="31.5" customHeight="1">
      <c r="B16" s="14">
        <v>11.0</v>
      </c>
      <c r="C16" s="25">
        <v>46232.0</v>
      </c>
      <c r="D16" s="14" t="s">
        <v>101</v>
      </c>
      <c r="E16" s="14" t="s">
        <v>103</v>
      </c>
      <c r="F16" s="14" t="s">
        <v>96</v>
      </c>
      <c r="G16" s="12" t="s">
        <v>115</v>
      </c>
      <c r="H16" s="12" t="s">
        <v>55</v>
      </c>
      <c r="I16" s="12" t="s">
        <v>116</v>
      </c>
      <c r="J16" s="23" t="s">
        <v>60</v>
      </c>
    </row>
    <row r="17" ht="31.5" customHeight="1">
      <c r="B17" s="14">
        <v>12.0</v>
      </c>
      <c r="C17" s="25">
        <v>46233.0</v>
      </c>
      <c r="D17" s="14" t="s">
        <v>101</v>
      </c>
      <c r="E17" s="14" t="s">
        <v>103</v>
      </c>
      <c r="F17" s="14" t="s">
        <v>96</v>
      </c>
      <c r="G17" s="12" t="s">
        <v>117</v>
      </c>
      <c r="H17" s="12" t="s">
        <v>118</v>
      </c>
      <c r="I17" s="12" t="s">
        <v>119</v>
      </c>
      <c r="J17" s="23" t="s">
        <v>60</v>
      </c>
    </row>
    <row r="18" ht="31.5" customHeight="1">
      <c r="B18" s="30">
        <v>13.0</v>
      </c>
      <c r="C18" s="31">
        <v>46234.0</v>
      </c>
      <c r="D18" s="30" t="s">
        <v>123</v>
      </c>
      <c r="E18" s="30" t="s">
        <v>103</v>
      </c>
      <c r="F18" s="30" t="s">
        <v>124</v>
      </c>
      <c r="G18" s="32" t="s">
        <v>126</v>
      </c>
      <c r="H18" s="32" t="s">
        <v>127</v>
      </c>
      <c r="I18" s="32" t="s">
        <v>128</v>
      </c>
      <c r="J18" s="33" t="s">
        <v>60</v>
      </c>
    </row>
    <row r="19" ht="31.5" customHeight="1">
      <c r="B19" s="30">
        <v>14.0</v>
      </c>
      <c r="C19" s="31">
        <v>46237.0</v>
      </c>
      <c r="D19" s="30" t="s">
        <v>123</v>
      </c>
      <c r="E19" s="30" t="s">
        <v>103</v>
      </c>
      <c r="F19" s="30" t="s">
        <v>124</v>
      </c>
      <c r="G19" s="32" t="s">
        <v>130</v>
      </c>
      <c r="H19" s="32" t="s">
        <v>132</v>
      </c>
      <c r="I19" s="32" t="s">
        <v>133</v>
      </c>
      <c r="J19" s="33" t="s">
        <v>60</v>
      </c>
    </row>
    <row r="20" ht="31.5" customHeight="1">
      <c r="B20" s="14">
        <v>15.0</v>
      </c>
      <c r="C20" s="25">
        <v>46238.0</v>
      </c>
      <c r="D20" s="14" t="s">
        <v>101</v>
      </c>
      <c r="E20" s="14" t="s">
        <v>136</v>
      </c>
      <c r="F20" s="14" t="s">
        <v>137</v>
      </c>
      <c r="G20" s="12" t="s">
        <v>138</v>
      </c>
      <c r="H20" s="12" t="s">
        <v>55</v>
      </c>
      <c r="I20" s="12" t="s">
        <v>139</v>
      </c>
      <c r="J20" s="23" t="s">
        <v>60</v>
      </c>
    </row>
    <row r="21" ht="31.5" customHeight="1">
      <c r="B21" s="14">
        <v>16.0</v>
      </c>
      <c r="C21" s="25">
        <v>46239.0</v>
      </c>
      <c r="D21" s="14" t="s">
        <v>101</v>
      </c>
      <c r="E21" s="14" t="s">
        <v>136</v>
      </c>
      <c r="F21" s="14" t="s">
        <v>137</v>
      </c>
      <c r="G21" s="12" t="s">
        <v>140</v>
      </c>
      <c r="H21" s="12" t="s">
        <v>61</v>
      </c>
      <c r="I21" s="12" t="s">
        <v>141</v>
      </c>
      <c r="J21" s="23" t="s">
        <v>60</v>
      </c>
    </row>
    <row r="22" ht="31.5" customHeight="1">
      <c r="B22" s="14">
        <v>17.0</v>
      </c>
      <c r="C22" s="25">
        <v>46240.0</v>
      </c>
      <c r="D22" s="14" t="s">
        <v>101</v>
      </c>
      <c r="E22" s="14" t="s">
        <v>136</v>
      </c>
      <c r="F22" s="14" t="s">
        <v>142</v>
      </c>
      <c r="G22" s="12" t="s">
        <v>143</v>
      </c>
      <c r="H22" s="12" t="s">
        <v>144</v>
      </c>
      <c r="I22" s="12" t="s">
        <v>145</v>
      </c>
      <c r="J22" s="23" t="s">
        <v>60</v>
      </c>
    </row>
    <row r="23" ht="31.5" customHeight="1">
      <c r="B23" s="14">
        <v>18.0</v>
      </c>
      <c r="C23" s="25">
        <v>46241.0</v>
      </c>
      <c r="D23" s="14" t="s">
        <v>101</v>
      </c>
      <c r="E23" s="14" t="s">
        <v>136</v>
      </c>
      <c r="F23" s="14" t="s">
        <v>142</v>
      </c>
      <c r="G23" s="12" t="s">
        <v>147</v>
      </c>
      <c r="H23" s="12" t="s">
        <v>55</v>
      </c>
      <c r="I23" s="12" t="s">
        <v>148</v>
      </c>
      <c r="J23" s="23" t="s">
        <v>60</v>
      </c>
    </row>
    <row r="24" ht="31.5" customHeight="1">
      <c r="B24" s="14">
        <v>19.0</v>
      </c>
      <c r="C24" s="25">
        <v>46244.0</v>
      </c>
      <c r="D24" s="14" t="s">
        <v>101</v>
      </c>
      <c r="E24" s="14" t="s">
        <v>136</v>
      </c>
      <c r="F24" s="14" t="s">
        <v>142</v>
      </c>
      <c r="G24" s="12" t="s">
        <v>149</v>
      </c>
      <c r="H24" s="12" t="s">
        <v>61</v>
      </c>
      <c r="I24" s="12" t="s">
        <v>150</v>
      </c>
      <c r="J24" s="23" t="s">
        <v>60</v>
      </c>
    </row>
    <row r="25" ht="31.5" customHeight="1">
      <c r="B25" s="30">
        <v>20.0</v>
      </c>
      <c r="C25" s="31">
        <v>46245.0</v>
      </c>
      <c r="D25" s="30" t="s">
        <v>123</v>
      </c>
      <c r="E25" s="30" t="s">
        <v>136</v>
      </c>
      <c r="F25" s="30" t="s">
        <v>151</v>
      </c>
      <c r="G25" s="32" t="s">
        <v>152</v>
      </c>
      <c r="H25" s="32" t="s">
        <v>153</v>
      </c>
      <c r="I25" s="32" t="s">
        <v>155</v>
      </c>
      <c r="J25" s="33" t="s">
        <v>60</v>
      </c>
    </row>
    <row r="26" ht="31.5" customHeight="1">
      <c r="B26" s="14">
        <v>21.0</v>
      </c>
      <c r="C26" s="25">
        <v>46246.0</v>
      </c>
      <c r="D26" s="14" t="s">
        <v>101</v>
      </c>
      <c r="E26" s="14" t="s">
        <v>156</v>
      </c>
      <c r="F26" s="14" t="s">
        <v>158</v>
      </c>
      <c r="G26" s="12" t="s">
        <v>159</v>
      </c>
      <c r="H26" s="12" t="s">
        <v>35</v>
      </c>
      <c r="I26" s="12" t="s">
        <v>161</v>
      </c>
      <c r="J26" s="23" t="s">
        <v>60</v>
      </c>
    </row>
    <row r="27" ht="31.5" customHeight="1">
      <c r="B27" s="14">
        <v>22.0</v>
      </c>
      <c r="C27" s="25">
        <v>46247.0</v>
      </c>
      <c r="D27" s="14" t="s">
        <v>101</v>
      </c>
      <c r="E27" s="14" t="s">
        <v>156</v>
      </c>
      <c r="F27" s="14" t="s">
        <v>158</v>
      </c>
      <c r="G27" s="12" t="s">
        <v>162</v>
      </c>
      <c r="H27" s="12" t="s">
        <v>163</v>
      </c>
      <c r="I27" s="12" t="s">
        <v>164</v>
      </c>
      <c r="J27" s="23" t="s">
        <v>60</v>
      </c>
    </row>
    <row r="28" ht="31.5" customHeight="1">
      <c r="B28" s="14">
        <v>23.0</v>
      </c>
      <c r="C28" s="25">
        <v>46248.0</v>
      </c>
      <c r="D28" s="14" t="s">
        <v>101</v>
      </c>
      <c r="E28" s="14" t="s">
        <v>156</v>
      </c>
      <c r="F28" s="14" t="s">
        <v>158</v>
      </c>
      <c r="G28" s="12" t="s">
        <v>165</v>
      </c>
      <c r="H28" s="12" t="s">
        <v>55</v>
      </c>
      <c r="I28" s="12" t="s">
        <v>166</v>
      </c>
      <c r="J28" s="23" t="s">
        <v>60</v>
      </c>
    </row>
    <row r="29" ht="37.5" customHeight="1">
      <c r="B29" s="14">
        <v>24.0</v>
      </c>
      <c r="C29" s="25">
        <v>46251.0</v>
      </c>
      <c r="D29" s="14" t="s">
        <v>101</v>
      </c>
      <c r="E29" s="14" t="s">
        <v>156</v>
      </c>
      <c r="F29" s="14" t="s">
        <v>158</v>
      </c>
      <c r="G29" s="12" t="s">
        <v>169</v>
      </c>
      <c r="H29" s="12" t="s">
        <v>61</v>
      </c>
      <c r="I29" s="12" t="s">
        <v>170</v>
      </c>
      <c r="J29" s="23" t="s">
        <v>60</v>
      </c>
    </row>
    <row r="30" ht="31.5" customHeight="1">
      <c r="B30" s="30">
        <v>25.0</v>
      </c>
      <c r="C30" s="31">
        <v>46252.0</v>
      </c>
      <c r="D30" s="30" t="s">
        <v>123</v>
      </c>
      <c r="E30" s="30" t="s">
        <v>156</v>
      </c>
      <c r="F30" s="30" t="s">
        <v>158</v>
      </c>
      <c r="G30" s="32" t="s">
        <v>173</v>
      </c>
      <c r="H30" s="32" t="s">
        <v>153</v>
      </c>
      <c r="I30" s="32" t="s">
        <v>174</v>
      </c>
      <c r="J30" s="33" t="s">
        <v>60</v>
      </c>
    </row>
    <row r="31" ht="31.5" customHeight="1">
      <c r="B31" s="14">
        <v>26.0</v>
      </c>
      <c r="C31" s="25">
        <v>46253.0</v>
      </c>
      <c r="D31" s="14" t="s">
        <v>101</v>
      </c>
      <c r="E31" s="14" t="s">
        <v>175</v>
      </c>
      <c r="F31" s="14" t="s">
        <v>176</v>
      </c>
      <c r="G31" s="12" t="s">
        <v>177</v>
      </c>
      <c r="H31" s="12" t="s">
        <v>178</v>
      </c>
      <c r="I31" s="12" t="s">
        <v>179</v>
      </c>
      <c r="J31" s="23" t="s">
        <v>60</v>
      </c>
    </row>
    <row r="32" ht="31.5" customHeight="1">
      <c r="B32" s="14">
        <v>27.0</v>
      </c>
      <c r="C32" s="25">
        <v>46254.0</v>
      </c>
      <c r="D32" s="14" t="s">
        <v>101</v>
      </c>
      <c r="E32" s="14" t="s">
        <v>175</v>
      </c>
      <c r="F32" s="14" t="s">
        <v>176</v>
      </c>
      <c r="G32" s="12" t="s">
        <v>182</v>
      </c>
      <c r="H32" s="12" t="s">
        <v>118</v>
      </c>
      <c r="I32" s="12" t="s">
        <v>183</v>
      </c>
      <c r="J32" s="23" t="s">
        <v>60</v>
      </c>
    </row>
    <row r="33" ht="31.5" customHeight="1">
      <c r="B33" s="27">
        <v>28.0</v>
      </c>
      <c r="C33" s="37">
        <v>46255.0</v>
      </c>
      <c r="D33" s="27" t="s">
        <v>185</v>
      </c>
      <c r="E33" s="27" t="s">
        <v>175</v>
      </c>
      <c r="F33" s="27" t="s">
        <v>44</v>
      </c>
      <c r="G33" s="26" t="s">
        <v>186</v>
      </c>
      <c r="H33" s="26" t="s">
        <v>187</v>
      </c>
      <c r="I33" s="26" t="s">
        <v>188</v>
      </c>
      <c r="J33" s="29" t="s">
        <v>60</v>
      </c>
    </row>
    <row r="34" ht="39.0" customHeight="1">
      <c r="B34" s="30">
        <v>29.0</v>
      </c>
      <c r="C34" s="31">
        <v>46258.0</v>
      </c>
      <c r="D34" s="30" t="s">
        <v>123</v>
      </c>
      <c r="E34" s="30" t="s">
        <v>175</v>
      </c>
      <c r="F34" s="30" t="s">
        <v>44</v>
      </c>
      <c r="G34" s="32" t="s">
        <v>190</v>
      </c>
      <c r="H34" s="32" t="s">
        <v>153</v>
      </c>
      <c r="I34" s="32" t="s">
        <v>191</v>
      </c>
      <c r="J34" s="33" t="s">
        <v>60</v>
      </c>
    </row>
    <row r="35" ht="31.5" customHeight="1">
      <c r="B35" s="41">
        <v>30.0</v>
      </c>
      <c r="C35" s="42">
        <v>46259.0</v>
      </c>
      <c r="D35" s="41" t="s">
        <v>195</v>
      </c>
      <c r="E35" s="41" t="s">
        <v>175</v>
      </c>
      <c r="F35" s="41" t="s">
        <v>44</v>
      </c>
      <c r="G35" s="43" t="s">
        <v>197</v>
      </c>
      <c r="H35" s="43" t="s">
        <v>187</v>
      </c>
      <c r="I35" s="43" t="s">
        <v>199</v>
      </c>
      <c r="J35" s="44" t="s">
        <v>60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J6:J35">
      <formula1>"Not Started,In Progress,Completed,Blocked"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4.0"/>
    <col customWidth="1" min="3" max="3" width="26.0"/>
    <col customWidth="1" min="4" max="4" width="30.0"/>
    <col customWidth="1" min="5" max="6" width="10.0"/>
    <col customWidth="1" min="7" max="9" width="14.0"/>
    <col customWidth="1" min="10" max="10" width="30.0"/>
    <col customWidth="1" min="11" max="11" width="14.0"/>
    <col customWidth="1" min="12" max="26" width="8.71"/>
  </cols>
  <sheetData>
    <row r="2">
      <c r="B2" s="1" t="s">
        <v>0</v>
      </c>
    </row>
    <row r="4">
      <c r="A4" s="4"/>
      <c r="B4" s="4" t="s">
        <v>20</v>
      </c>
      <c r="C4" s="4" t="s">
        <v>22</v>
      </c>
      <c r="D4" s="4" t="s">
        <v>19</v>
      </c>
      <c r="E4" s="4" t="s">
        <v>24</v>
      </c>
      <c r="F4" s="4" t="s">
        <v>26</v>
      </c>
      <c r="G4" s="4" t="s">
        <v>28</v>
      </c>
      <c r="H4" s="4" t="s">
        <v>29</v>
      </c>
      <c r="I4" s="4" t="s">
        <v>31</v>
      </c>
      <c r="J4" s="4" t="s">
        <v>21</v>
      </c>
      <c r="K4" s="4" t="s">
        <v>23</v>
      </c>
    </row>
    <row r="5" ht="30.0" customHeight="1">
      <c r="B5" s="12" t="s">
        <v>39</v>
      </c>
      <c r="C5" s="12" t="s">
        <v>49</v>
      </c>
      <c r="D5" s="12" t="s">
        <v>50</v>
      </c>
      <c r="E5" s="14">
        <v>4.0</v>
      </c>
      <c r="F5" s="14">
        <v>4.0</v>
      </c>
      <c r="G5" s="17">
        <v>46223.0</v>
      </c>
      <c r="H5" s="17">
        <v>46223.0</v>
      </c>
      <c r="I5" s="14">
        <f t="shared" ref="I5:I15" si="1">F5-E5+1</f>
        <v>1</v>
      </c>
      <c r="J5" s="12" t="s">
        <v>86</v>
      </c>
      <c r="K5" s="23" t="s">
        <v>60</v>
      </c>
    </row>
    <row r="6" ht="30.0" customHeight="1">
      <c r="B6" s="12" t="s">
        <v>39</v>
      </c>
      <c r="C6" s="12" t="s">
        <v>92</v>
      </c>
      <c r="D6" s="12" t="s">
        <v>35</v>
      </c>
      <c r="E6" s="14">
        <v>7.0</v>
      </c>
      <c r="F6" s="14">
        <v>8.0</v>
      </c>
      <c r="G6" s="17">
        <v>46226.0</v>
      </c>
      <c r="H6" s="17">
        <v>46227.0</v>
      </c>
      <c r="I6" s="14">
        <f t="shared" si="1"/>
        <v>2</v>
      </c>
      <c r="J6" s="12" t="s">
        <v>97</v>
      </c>
      <c r="K6" s="23" t="s">
        <v>60</v>
      </c>
    </row>
    <row r="7" ht="37.5" customHeight="1">
      <c r="B7" s="12" t="s">
        <v>39</v>
      </c>
      <c r="C7" s="12" t="s">
        <v>100</v>
      </c>
      <c r="D7" s="12" t="s">
        <v>35</v>
      </c>
      <c r="E7" s="14">
        <v>8.0</v>
      </c>
      <c r="F7" s="23">
        <v>8.0</v>
      </c>
      <c r="G7" s="17">
        <v>46227.0</v>
      </c>
      <c r="H7" s="17">
        <v>46227.0</v>
      </c>
      <c r="I7" s="14">
        <f t="shared" si="1"/>
        <v>1</v>
      </c>
      <c r="J7" s="12" t="s">
        <v>102</v>
      </c>
      <c r="K7" s="23" t="s">
        <v>60</v>
      </c>
    </row>
    <row r="8" ht="30.0" customHeight="1">
      <c r="B8" s="12" t="s">
        <v>39</v>
      </c>
      <c r="C8" s="12" t="s">
        <v>105</v>
      </c>
      <c r="D8" s="12" t="s">
        <v>61</v>
      </c>
      <c r="E8" s="14">
        <v>9.0</v>
      </c>
      <c r="F8" s="14">
        <v>10.0</v>
      </c>
      <c r="G8" s="17">
        <v>46230.0</v>
      </c>
      <c r="H8" s="17">
        <v>46231.0</v>
      </c>
      <c r="I8" s="14">
        <f t="shared" si="1"/>
        <v>2</v>
      </c>
      <c r="J8" s="12" t="s">
        <v>107</v>
      </c>
      <c r="K8" s="23" t="s">
        <v>60</v>
      </c>
    </row>
    <row r="9" ht="30.0" customHeight="1">
      <c r="B9" s="26" t="s">
        <v>109</v>
      </c>
      <c r="C9" s="26" t="s">
        <v>112</v>
      </c>
      <c r="D9" s="26" t="s">
        <v>55</v>
      </c>
      <c r="E9" s="27">
        <v>6.0</v>
      </c>
      <c r="F9" s="27">
        <v>6.0</v>
      </c>
      <c r="G9" s="28">
        <v>46225.0</v>
      </c>
      <c r="H9" s="28">
        <v>46225.0</v>
      </c>
      <c r="I9" s="27">
        <f t="shared" si="1"/>
        <v>1</v>
      </c>
      <c r="J9" s="26" t="s">
        <v>99</v>
      </c>
      <c r="K9" s="29" t="s">
        <v>60</v>
      </c>
    </row>
    <row r="10" ht="30.0" customHeight="1">
      <c r="B10" s="26" t="s">
        <v>109</v>
      </c>
      <c r="C10" s="26" t="s">
        <v>120</v>
      </c>
      <c r="D10" s="26" t="s">
        <v>55</v>
      </c>
      <c r="E10" s="27">
        <v>10.0</v>
      </c>
      <c r="F10" s="27">
        <v>11.0</v>
      </c>
      <c r="G10" s="28">
        <v>46231.0</v>
      </c>
      <c r="H10" s="28">
        <v>46232.0</v>
      </c>
      <c r="I10" s="27">
        <f t="shared" si="1"/>
        <v>2</v>
      </c>
      <c r="J10" s="26" t="s">
        <v>121</v>
      </c>
      <c r="K10" s="29" t="s">
        <v>60</v>
      </c>
    </row>
    <row r="11" ht="30.0" customHeight="1">
      <c r="B11" s="26" t="s">
        <v>109</v>
      </c>
      <c r="C11" s="26" t="s">
        <v>122</v>
      </c>
      <c r="D11" s="26" t="s">
        <v>55</v>
      </c>
      <c r="E11" s="27">
        <v>11.0</v>
      </c>
      <c r="F11" s="27">
        <v>12.0</v>
      </c>
      <c r="G11" s="28">
        <v>46232.0</v>
      </c>
      <c r="H11" s="28">
        <v>46233.0</v>
      </c>
      <c r="I11" s="27">
        <f t="shared" si="1"/>
        <v>2</v>
      </c>
      <c r="J11" s="26" t="s">
        <v>125</v>
      </c>
      <c r="K11" s="29" t="s">
        <v>60</v>
      </c>
    </row>
    <row r="12" ht="30.0" customHeight="1">
      <c r="B12" s="26" t="s">
        <v>109</v>
      </c>
      <c r="C12" s="26" t="s">
        <v>129</v>
      </c>
      <c r="D12" s="26" t="s">
        <v>118</v>
      </c>
      <c r="E12" s="27">
        <v>12.0</v>
      </c>
      <c r="F12" s="27">
        <v>12.0</v>
      </c>
      <c r="G12" s="28">
        <v>46233.0</v>
      </c>
      <c r="H12" s="28">
        <v>46233.0</v>
      </c>
      <c r="I12" s="27">
        <f t="shared" si="1"/>
        <v>1</v>
      </c>
      <c r="J12" s="26" t="s">
        <v>131</v>
      </c>
      <c r="K12" s="29" t="s">
        <v>60</v>
      </c>
    </row>
    <row r="13" ht="30.0" customHeight="1">
      <c r="B13" s="22" t="s">
        <v>134</v>
      </c>
      <c r="C13" s="22" t="s">
        <v>135</v>
      </c>
      <c r="D13" s="22" t="s">
        <v>55</v>
      </c>
      <c r="E13" s="20">
        <v>15.0</v>
      </c>
      <c r="F13" s="20">
        <v>16.0</v>
      </c>
      <c r="G13" s="34">
        <v>46238.0</v>
      </c>
      <c r="H13" s="34">
        <v>46239.0</v>
      </c>
      <c r="I13" s="20">
        <f t="shared" si="1"/>
        <v>2</v>
      </c>
      <c r="J13" s="22" t="s">
        <v>139</v>
      </c>
      <c r="K13" s="24" t="s">
        <v>60</v>
      </c>
    </row>
    <row r="14" ht="30.0" customHeight="1">
      <c r="B14" s="22" t="s">
        <v>134</v>
      </c>
      <c r="C14" s="22" t="s">
        <v>146</v>
      </c>
      <c r="D14" s="22" t="s">
        <v>61</v>
      </c>
      <c r="E14" s="20">
        <v>16.0</v>
      </c>
      <c r="F14" s="20">
        <v>17.0</v>
      </c>
      <c r="G14" s="34">
        <v>46239.0</v>
      </c>
      <c r="H14" s="34">
        <v>46240.0</v>
      </c>
      <c r="I14" s="20">
        <f t="shared" si="1"/>
        <v>2</v>
      </c>
      <c r="J14" s="22" t="s">
        <v>154</v>
      </c>
      <c r="K14" s="24" t="s">
        <v>60</v>
      </c>
    </row>
    <row r="15" ht="30.0" customHeight="1">
      <c r="B15" s="13" t="s">
        <v>157</v>
      </c>
      <c r="C15" s="13" t="s">
        <v>160</v>
      </c>
      <c r="D15" s="13" t="s">
        <v>144</v>
      </c>
      <c r="E15" s="8">
        <v>17.0</v>
      </c>
      <c r="F15" s="8">
        <v>18.0</v>
      </c>
      <c r="G15" s="35">
        <v>46240.0</v>
      </c>
      <c r="H15" s="35">
        <v>46241.0</v>
      </c>
      <c r="I15" s="8">
        <f t="shared" si="1"/>
        <v>2</v>
      </c>
      <c r="J15" s="13" t="s">
        <v>167</v>
      </c>
      <c r="K15" s="18" t="s">
        <v>60</v>
      </c>
    </row>
    <row r="16" ht="30.0" customHeight="1">
      <c r="B16" s="13" t="s">
        <v>157</v>
      </c>
      <c r="C16" s="13" t="s">
        <v>168</v>
      </c>
      <c r="D16" s="13" t="s">
        <v>55</v>
      </c>
      <c r="E16" s="8">
        <v>18.0</v>
      </c>
      <c r="F16" s="18">
        <v>18.0</v>
      </c>
      <c r="G16" s="35">
        <v>46241.0</v>
      </c>
      <c r="H16" s="35">
        <v>46241.0</v>
      </c>
      <c r="I16" s="18">
        <v>1.0</v>
      </c>
      <c r="J16" s="13" t="s">
        <v>171</v>
      </c>
      <c r="K16" s="18" t="s">
        <v>60</v>
      </c>
    </row>
    <row r="17" ht="30.0" customHeight="1">
      <c r="B17" s="13" t="s">
        <v>157</v>
      </c>
      <c r="C17" s="13" t="s">
        <v>172</v>
      </c>
      <c r="D17" s="13" t="s">
        <v>61</v>
      </c>
      <c r="E17" s="8">
        <v>19.0</v>
      </c>
      <c r="F17" s="8">
        <v>19.0</v>
      </c>
      <c r="G17" s="35">
        <v>46244.0</v>
      </c>
      <c r="H17" s="35">
        <v>46244.0</v>
      </c>
      <c r="I17" s="8">
        <f t="shared" ref="I17:I27" si="2">F17-E17+1</f>
        <v>1</v>
      </c>
      <c r="J17" s="13" t="s">
        <v>180</v>
      </c>
      <c r="K17" s="18" t="s">
        <v>60</v>
      </c>
    </row>
    <row r="18" ht="42.75" customHeight="1">
      <c r="B18" s="36" t="s">
        <v>181</v>
      </c>
      <c r="C18" s="36" t="s">
        <v>184</v>
      </c>
      <c r="D18" s="36" t="s">
        <v>35</v>
      </c>
      <c r="E18" s="38">
        <v>21.0</v>
      </c>
      <c r="F18" s="38">
        <v>22.0</v>
      </c>
      <c r="G18" s="39">
        <v>46246.0</v>
      </c>
      <c r="H18" s="39">
        <v>46247.0</v>
      </c>
      <c r="I18" s="38">
        <f t="shared" si="2"/>
        <v>2</v>
      </c>
      <c r="J18" s="36" t="s">
        <v>161</v>
      </c>
      <c r="K18" s="40" t="s">
        <v>60</v>
      </c>
    </row>
    <row r="19" ht="30.0" customHeight="1">
      <c r="B19" s="36" t="s">
        <v>181</v>
      </c>
      <c r="C19" s="36" t="s">
        <v>189</v>
      </c>
      <c r="D19" s="36" t="s">
        <v>163</v>
      </c>
      <c r="E19" s="38">
        <v>22.0</v>
      </c>
      <c r="F19" s="38">
        <v>23.0</v>
      </c>
      <c r="G19" s="39">
        <v>46247.0</v>
      </c>
      <c r="H19" s="39">
        <v>46248.0</v>
      </c>
      <c r="I19" s="38">
        <f t="shared" si="2"/>
        <v>2</v>
      </c>
      <c r="J19" s="36" t="s">
        <v>164</v>
      </c>
      <c r="K19" s="40" t="s">
        <v>60</v>
      </c>
    </row>
    <row r="20" ht="30.0" customHeight="1">
      <c r="B20" s="36" t="s">
        <v>181</v>
      </c>
      <c r="C20" s="36" t="s">
        <v>192</v>
      </c>
      <c r="D20" s="36" t="s">
        <v>55</v>
      </c>
      <c r="E20" s="38">
        <v>23.0</v>
      </c>
      <c r="F20" s="38">
        <v>24.0</v>
      </c>
      <c r="G20" s="39">
        <v>46248.0</v>
      </c>
      <c r="H20" s="39">
        <v>46251.0</v>
      </c>
      <c r="I20" s="38">
        <f t="shared" si="2"/>
        <v>2</v>
      </c>
      <c r="J20" s="36" t="s">
        <v>193</v>
      </c>
      <c r="K20" s="40" t="s">
        <v>60</v>
      </c>
    </row>
    <row r="21" ht="30.0" customHeight="1">
      <c r="B21" s="36" t="s">
        <v>181</v>
      </c>
      <c r="C21" s="36" t="s">
        <v>194</v>
      </c>
      <c r="D21" s="36" t="s">
        <v>61</v>
      </c>
      <c r="E21" s="38">
        <v>24.0</v>
      </c>
      <c r="F21" s="38">
        <v>24.0</v>
      </c>
      <c r="G21" s="39">
        <v>46251.0</v>
      </c>
      <c r="H21" s="39">
        <v>46251.0</v>
      </c>
      <c r="I21" s="38">
        <f t="shared" si="2"/>
        <v>1</v>
      </c>
      <c r="J21" s="36" t="s">
        <v>196</v>
      </c>
      <c r="K21" s="40" t="s">
        <v>60</v>
      </c>
    </row>
    <row r="22" ht="30.0" customHeight="1">
      <c r="B22" s="43" t="s">
        <v>198</v>
      </c>
      <c r="C22" s="43" t="s">
        <v>200</v>
      </c>
      <c r="D22" s="43" t="s">
        <v>35</v>
      </c>
      <c r="E22" s="41">
        <v>26.0</v>
      </c>
      <c r="F22" s="41">
        <v>27.0</v>
      </c>
      <c r="G22" s="45">
        <v>46253.0</v>
      </c>
      <c r="H22" s="45">
        <v>46254.0</v>
      </c>
      <c r="I22" s="41">
        <f t="shared" si="2"/>
        <v>2</v>
      </c>
      <c r="J22" s="43" t="s">
        <v>201</v>
      </c>
      <c r="K22" s="44" t="s">
        <v>60</v>
      </c>
    </row>
    <row r="23" ht="30.0" customHeight="1">
      <c r="B23" s="43" t="s">
        <v>198</v>
      </c>
      <c r="C23" s="43" t="s">
        <v>202</v>
      </c>
      <c r="D23" s="43" t="s">
        <v>61</v>
      </c>
      <c r="E23" s="41">
        <v>26.0</v>
      </c>
      <c r="F23" s="41">
        <v>27.0</v>
      </c>
      <c r="G23" s="45">
        <v>46253.0</v>
      </c>
      <c r="H23" s="45">
        <v>46254.0</v>
      </c>
      <c r="I23" s="41">
        <f t="shared" si="2"/>
        <v>2</v>
      </c>
      <c r="J23" s="43" t="s">
        <v>203</v>
      </c>
      <c r="K23" s="44" t="s">
        <v>60</v>
      </c>
    </row>
    <row r="24" ht="30.0" customHeight="1">
      <c r="B24" s="43" t="s">
        <v>198</v>
      </c>
      <c r="C24" s="43" t="s">
        <v>204</v>
      </c>
      <c r="D24" s="43" t="s">
        <v>205</v>
      </c>
      <c r="E24" s="41">
        <v>27.0</v>
      </c>
      <c r="F24" s="41">
        <v>27.0</v>
      </c>
      <c r="G24" s="45">
        <v>46254.0</v>
      </c>
      <c r="H24" s="45">
        <v>46254.0</v>
      </c>
      <c r="I24" s="41">
        <f t="shared" si="2"/>
        <v>1</v>
      </c>
      <c r="J24" s="43" t="s">
        <v>206</v>
      </c>
      <c r="K24" s="44" t="s">
        <v>60</v>
      </c>
    </row>
    <row r="25" ht="30.0" customHeight="1">
      <c r="B25" s="32" t="s">
        <v>207</v>
      </c>
      <c r="C25" s="32" t="s">
        <v>208</v>
      </c>
      <c r="D25" s="32" t="s">
        <v>187</v>
      </c>
      <c r="E25" s="30">
        <v>28.0</v>
      </c>
      <c r="F25" s="30">
        <v>28.0</v>
      </c>
      <c r="G25" s="46">
        <v>46255.0</v>
      </c>
      <c r="H25" s="46">
        <v>46255.0</v>
      </c>
      <c r="I25" s="30">
        <f t="shared" si="2"/>
        <v>1</v>
      </c>
      <c r="J25" s="32" t="s">
        <v>209</v>
      </c>
      <c r="K25" s="33" t="s">
        <v>60</v>
      </c>
    </row>
    <row r="26" ht="30.0" customHeight="1">
      <c r="B26" s="32" t="s">
        <v>207</v>
      </c>
      <c r="C26" s="32" t="s">
        <v>210</v>
      </c>
      <c r="D26" s="32" t="s">
        <v>127</v>
      </c>
      <c r="E26" s="30">
        <v>29.0</v>
      </c>
      <c r="F26" s="30">
        <v>29.0</v>
      </c>
      <c r="G26" s="46">
        <v>46258.0</v>
      </c>
      <c r="H26" s="46">
        <v>46258.0</v>
      </c>
      <c r="I26" s="30">
        <f t="shared" si="2"/>
        <v>1</v>
      </c>
      <c r="J26" s="32" t="s">
        <v>212</v>
      </c>
      <c r="K26" s="33" t="s">
        <v>60</v>
      </c>
    </row>
    <row r="27" ht="30.0" customHeight="1">
      <c r="B27" s="32" t="s">
        <v>207</v>
      </c>
      <c r="C27" s="32" t="s">
        <v>214</v>
      </c>
      <c r="D27" s="32" t="s">
        <v>187</v>
      </c>
      <c r="E27" s="30">
        <v>30.0</v>
      </c>
      <c r="F27" s="30">
        <v>30.0</v>
      </c>
      <c r="G27" s="46">
        <v>46259.0</v>
      </c>
      <c r="H27" s="46">
        <v>46259.0</v>
      </c>
      <c r="I27" s="30">
        <f t="shared" si="2"/>
        <v>1</v>
      </c>
      <c r="J27" s="32" t="s">
        <v>217</v>
      </c>
      <c r="K27" s="33" t="s">
        <v>60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K5:K27">
      <formula1>"Not Started,In Progress,Completed,Blocked"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5" width="14.0"/>
    <col customWidth="1" min="6" max="6" width="34.0"/>
    <col customWidth="1" min="7" max="7" width="42.0"/>
    <col customWidth="1" min="8" max="8" width="16.0"/>
    <col customWidth="1" min="9" max="26" width="8.71"/>
  </cols>
  <sheetData>
    <row r="2">
      <c r="B2" s="1" t="s">
        <v>211</v>
      </c>
    </row>
    <row r="4">
      <c r="A4" s="4"/>
      <c r="B4" s="4" t="s">
        <v>15</v>
      </c>
      <c r="C4" s="4" t="s">
        <v>213</v>
      </c>
      <c r="D4" s="4" t="s">
        <v>28</v>
      </c>
      <c r="E4" s="4" t="s">
        <v>29</v>
      </c>
      <c r="F4" s="4" t="s">
        <v>215</v>
      </c>
      <c r="G4" s="4" t="s">
        <v>216</v>
      </c>
      <c r="H4" s="4" t="s">
        <v>218</v>
      </c>
    </row>
    <row r="5" ht="48.0" customHeight="1">
      <c r="B5" s="47" t="s">
        <v>103</v>
      </c>
      <c r="C5" s="47" t="s">
        <v>219</v>
      </c>
      <c r="D5" s="48">
        <f>Overview!$C$5+0</f>
        <v>46218</v>
      </c>
      <c r="E5" s="48">
        <f>Overview!$C$5+13</f>
        <v>46231</v>
      </c>
      <c r="F5" s="7" t="s">
        <v>220</v>
      </c>
      <c r="G5" s="7" t="s">
        <v>221</v>
      </c>
      <c r="H5" s="49" t="s">
        <v>222</v>
      </c>
    </row>
    <row r="6" ht="48.0" customHeight="1">
      <c r="B6" s="47" t="s">
        <v>136</v>
      </c>
      <c r="C6" s="47" t="s">
        <v>223</v>
      </c>
      <c r="D6" s="48">
        <f>Overview!$C$5+14</f>
        <v>46232</v>
      </c>
      <c r="E6" s="48">
        <f>Overview!$C$5+19</f>
        <v>46237</v>
      </c>
      <c r="F6" s="7" t="s">
        <v>224</v>
      </c>
      <c r="G6" s="7" t="s">
        <v>225</v>
      </c>
      <c r="H6" s="49" t="s">
        <v>222</v>
      </c>
    </row>
    <row r="7" ht="48.0" customHeight="1">
      <c r="B7" s="47" t="s">
        <v>156</v>
      </c>
      <c r="C7" s="47" t="s">
        <v>226</v>
      </c>
      <c r="D7" s="48">
        <f>Overview!$C$5+20</f>
        <v>46238</v>
      </c>
      <c r="E7" s="48">
        <f>Overview!$C$5+24</f>
        <v>46242</v>
      </c>
      <c r="F7" s="7" t="s">
        <v>227</v>
      </c>
      <c r="G7" s="7" t="s">
        <v>228</v>
      </c>
      <c r="H7" s="49" t="s">
        <v>222</v>
      </c>
    </row>
    <row r="8" ht="48.0" customHeight="1">
      <c r="B8" s="47" t="s">
        <v>175</v>
      </c>
      <c r="C8" s="47" t="s">
        <v>229</v>
      </c>
      <c r="D8" s="48">
        <f>Overview!$C$5+25</f>
        <v>46243</v>
      </c>
      <c r="E8" s="48">
        <f>Overview!$C$5+29</f>
        <v>46247</v>
      </c>
      <c r="F8" s="7" t="s">
        <v>230</v>
      </c>
      <c r="G8" s="7" t="s">
        <v>231</v>
      </c>
      <c r="H8" s="49" t="s">
        <v>222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H5:H8">
      <formula1>"Pending,In Review,Signed Off,Rejected"</formula1>
    </dataValidation>
  </dataValidations>
  <printOptions/>
  <pageMargins bottom="1.0" footer="0.0" header="0.0" left="0.75" right="0.75" top="1.0"/>
  <pageSetup paperSize="9" orientation="portrait"/>
  <drawing r:id="rId1"/>
</worksheet>
</file>